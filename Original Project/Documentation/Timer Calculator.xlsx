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<sst xmlns="http://schemas.openxmlformats.org/spreadsheetml/2006/main" count="15" uniqueCount="15">
  <si>
    <t>Arduino Clock (Hz)</t>
  </si>
  <si>
    <t>Bits</t>
  </si>
  <si>
    <t>No of bits</t>
  </si>
  <si>
    <t>Prescaler</t>
  </si>
  <si>
    <t>Derived Clock (Hz)</t>
  </si>
  <si>
    <t>Tick (s)</t>
  </si>
  <si>
    <t>Tick ms)</t>
  </si>
  <si>
    <t>Tick (us)</t>
  </si>
  <si>
    <t>Tick (ns)</t>
  </si>
  <si>
    <t>Overflow (s)</t>
  </si>
  <si>
    <t>Overflow (ms)</t>
  </si>
  <si>
    <t>Overflow (us)</t>
  </si>
  <si>
    <t>Overflow interuput (Hz)</t>
  </si>
  <si>
    <t>Fast PWM (/2) (Hz)</t>
  </si>
  <si>
    <t>Fast PWM (/2) (kHz)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</si>
</sst>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" t="s">
        <v>0</v>
      </c>
      <c r="B1" s="1">
        <v>1.6E7</v>
      </c>
    </row>
    <row r="2">
      <c r="A2" s="1" t="s">
        <v>1</v>
      </c>
      <c r="B2" s="1">
        <v>8.0</v>
      </c>
    </row>
    <row r="3">
      <c r="A3" s="1" t="s">
        <v>2</v>
      </c>
      <c r="B3">
        <f>2^B2</f>
        <v>256</v>
      </c>
    </row>
    <row r="5">
      <c r="A5" s="1" t="s">
        <v>3</v>
      </c>
      <c r="B5" s="1">
        <v>1.0</v>
      </c>
      <c r="C5" s="1">
        <v>8.0</v>
      </c>
      <c r="D5" s="1">
        <v>64.0</v>
      </c>
      <c r="E5" s="1">
        <v>256.0</v>
      </c>
      <c r="F5" s="1">
        <v>1024.0</v>
      </c>
    </row>
    <row r="6">
      <c r="A6" s="1" t="s">
        <v>4</v>
      </c>
      <c r="B6">
        <f t="shared" ref="B6:F6" si="1">$B$1/B5</f>
        <v>16000000</v>
      </c>
      <c r="C6">
        <f t="shared" si="1"/>
        <v>2000000</v>
      </c>
      <c r="D6">
        <f t="shared" si="1"/>
        <v>250000</v>
      </c>
      <c r="E6">
        <f t="shared" si="1"/>
        <v>62500</v>
      </c>
      <c r="F6">
        <f t="shared" si="1"/>
        <v>15625</v>
      </c>
    </row>
    <row r="7">
      <c r="A7" s="1" t="s">
        <v>5</v>
      </c>
      <c r="B7">
        <f t="shared" ref="B7:F7" si="2">1/B6</f>
        <v>0.0000000625</v>
      </c>
      <c r="C7">
        <f t="shared" si="2"/>
        <v>0.0000005</v>
      </c>
      <c r="D7">
        <f t="shared" si="2"/>
        <v>0.000004</v>
      </c>
      <c r="E7">
        <f t="shared" si="2"/>
        <v>0.000016</v>
      </c>
      <c r="F7">
        <f t="shared" si="2"/>
        <v>0.000064</v>
      </c>
    </row>
    <row r="8">
      <c r="A8" s="1" t="s">
        <v>6</v>
      </c>
      <c r="B8">
        <f t="shared" ref="B8:F8" si="3">B7*1000</f>
        <v>0.0000625</v>
      </c>
      <c r="C8">
        <f t="shared" si="3"/>
        <v>0.0005</v>
      </c>
      <c r="D8">
        <f t="shared" si="3"/>
        <v>0.004</v>
      </c>
      <c r="E8">
        <f t="shared" si="3"/>
        <v>0.016</v>
      </c>
      <c r="F8">
        <f t="shared" si="3"/>
        <v>0.064</v>
      </c>
    </row>
    <row r="9">
      <c r="A9" s="1" t="s">
        <v>7</v>
      </c>
      <c r="B9">
        <f t="shared" ref="B9:F9" si="4">B8*1000</f>
        <v>0.0625</v>
      </c>
      <c r="C9">
        <f t="shared" si="4"/>
        <v>0.5</v>
      </c>
      <c r="D9">
        <f t="shared" si="4"/>
        <v>4</v>
      </c>
      <c r="E9">
        <f t="shared" si="4"/>
        <v>16</v>
      </c>
      <c r="F9">
        <f t="shared" si="4"/>
        <v>64</v>
      </c>
    </row>
    <row r="10">
      <c r="A10" s="1" t="s">
        <v>8</v>
      </c>
      <c r="B10">
        <f t="shared" ref="B10:F10" si="5">B9*1000</f>
        <v>62.5</v>
      </c>
      <c r="C10">
        <f t="shared" si="5"/>
        <v>500</v>
      </c>
      <c r="D10">
        <f t="shared" si="5"/>
        <v>4000</v>
      </c>
      <c r="E10">
        <f t="shared" si="5"/>
        <v>16000</v>
      </c>
      <c r="F10">
        <f t="shared" si="5"/>
        <v>64000</v>
      </c>
    </row>
    <row r="12">
      <c r="A12" s="1" t="s">
        <v>9</v>
      </c>
      <c r="B12">
        <f t="shared" ref="B12:F12" si="6">B7*$B$3</f>
        <v>0.000016</v>
      </c>
      <c r="C12">
        <f t="shared" si="6"/>
        <v>0.000128</v>
      </c>
      <c r="D12">
        <f t="shared" si="6"/>
        <v>0.001024</v>
      </c>
      <c r="E12">
        <f t="shared" si="6"/>
        <v>0.004096</v>
      </c>
      <c r="F12">
        <f t="shared" si="6"/>
        <v>0.016384</v>
      </c>
    </row>
    <row r="13">
      <c r="A13" s="1" t="s">
        <v>10</v>
      </c>
      <c r="B13">
        <f t="shared" ref="B13:F13" si="7">B12*1000</f>
        <v>0.016</v>
      </c>
      <c r="C13">
        <f t="shared" si="7"/>
        <v>0.128</v>
      </c>
      <c r="D13">
        <f t="shared" si="7"/>
        <v>1.024</v>
      </c>
      <c r="E13">
        <f t="shared" si="7"/>
        <v>4.096</v>
      </c>
      <c r="F13">
        <f t="shared" si="7"/>
        <v>16.384</v>
      </c>
    </row>
    <row r="14">
      <c r="A14" s="1" t="s">
        <v>11</v>
      </c>
      <c r="B14">
        <f t="shared" ref="B14:F14" si="8">B13*1000</f>
        <v>16</v>
      </c>
      <c r="C14">
        <f t="shared" si="8"/>
        <v>128</v>
      </c>
      <c r="D14">
        <f t="shared" si="8"/>
        <v>1024</v>
      </c>
      <c r="E14">
        <f t="shared" si="8"/>
        <v>4096</v>
      </c>
      <c r="F14">
        <f t="shared" si="8"/>
        <v>16384</v>
      </c>
    </row>
    <row r="16">
      <c r="A16" s="1" t="s">
        <v>12</v>
      </c>
      <c r="B16">
        <f t="shared" ref="B16:F16" si="9">B6/$B$3</f>
        <v>62500</v>
      </c>
      <c r="C16">
        <f t="shared" si="9"/>
        <v>7812.5</v>
      </c>
      <c r="D16">
        <f t="shared" si="9"/>
        <v>976.5625</v>
      </c>
      <c r="E16">
        <f t="shared" si="9"/>
        <v>244.140625</v>
      </c>
      <c r="F16">
        <f t="shared" si="9"/>
        <v>61.03515625</v>
      </c>
    </row>
    <row r="17">
      <c r="A17" s="1" t="s">
        <v>13</v>
      </c>
      <c r="B17">
        <f t="shared" ref="B17:F17" si="10">B16/2</f>
        <v>31250</v>
      </c>
      <c r="C17">
        <f t="shared" si="10"/>
        <v>3906.25</v>
      </c>
      <c r="D17">
        <f t="shared" si="10"/>
        <v>488.28125</v>
      </c>
      <c r="E17">
        <f t="shared" si="10"/>
        <v>122.0703125</v>
      </c>
      <c r="F17">
        <f t="shared" si="10"/>
        <v>30.51757813</v>
      </c>
    </row>
    <row r="18">
      <c r="A18" s="1" t="s">
        <v>14</v>
      </c>
      <c r="B18">
        <f t="shared" ref="B18:F18" si="11">B17/1000</f>
        <v>31.25</v>
      </c>
      <c r="C18">
        <f t="shared" si="11"/>
        <v>3.90625</v>
      </c>
      <c r="D18">
        <f t="shared" si="11"/>
        <v>0.48828125</v>
      </c>
      <c r="E18">
        <f t="shared" si="11"/>
        <v>0.1220703125</v>
      </c>
      <c r="F18">
        <f t="shared" si="11"/>
        <v>0.03051757813</v>
      </c>
    </row>
  </sheetData>
  <drawing r:id="rId1"/>
</worksheet>
</file>